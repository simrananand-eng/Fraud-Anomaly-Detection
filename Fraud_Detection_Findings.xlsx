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rananand/Desktop/Project 1 /"/>
    </mc:Choice>
  </mc:AlternateContent>
  <xr:revisionPtr revIDLastSave="0" documentId="13_ncr:1_{DF5BCC0E-6F76-DB47-B0C3-9E13DD7C1061}" xr6:coauthVersionLast="47" xr6:coauthVersionMax="47" xr10:uidLastSave="{00000000-0000-0000-0000-000000000000}"/>
  <bookViews>
    <workbookView xWindow="0" yWindow="500" windowWidth="28800" windowHeight="16380" xr2:uid="{6F8D9EC9-4EE9-2D46-BE28-A299A1F67997}"/>
  </bookViews>
  <sheets>
    <sheet name="Summary" sheetId="1" r:id="rId1"/>
    <sheet name="Memo" sheetId="7" r:id="rId2"/>
    <sheet name="Baseline" sheetId="2" r:id="rId3"/>
    <sheet name="Large_Transactions" sheetId="3" r:id="rId4"/>
    <sheet name="Payee_Concentration" sheetId="4" r:id="rId5"/>
    <sheet name="Timing Analysis" sheetId="5" r:id="rId6"/>
    <sheet name="Near_Duplicates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<sst xmlns="http://schemas.openxmlformats.org/spreadsheetml/2006/main" count="96" uniqueCount="92">
  <si>
    <t>Zero matches returned — pattern not present in synthetic dataset</t>
  </si>
  <si>
    <t>CASH_OUT</t>
  </si>
  <si>
    <t>PAYMENT</t>
  </si>
  <si>
    <t>CASH_IN</t>
  </si>
  <si>
    <t>TRANSFER</t>
  </si>
  <si>
    <t>DEBIT</t>
  </si>
  <si>
    <t>total_flagged</t>
  </si>
  <si>
    <t>confirmed_fraud</t>
  </si>
  <si>
    <t>precision_pct</t>
  </si>
  <si>
    <t>nameDest</t>
  </si>
  <si>
    <t>num_txns</t>
  </si>
  <si>
    <t>total_received</t>
  </si>
  <si>
    <t>pct_of_total</t>
  </si>
  <si>
    <t>fraud_txns</t>
  </si>
  <si>
    <t>fraud_rate_pct</t>
  </si>
  <si>
    <t>C439737079</t>
  </si>
  <si>
    <t>C707403537</t>
  </si>
  <si>
    <t>C167875008</t>
  </si>
  <si>
    <t>C20253152</t>
  </si>
  <si>
    <t>C172409641</t>
  </si>
  <si>
    <t>C268913927</t>
  </si>
  <si>
    <t>C65111466</t>
  </si>
  <si>
    <t>C936857833</t>
  </si>
  <si>
    <t>C310383504</t>
  </si>
  <si>
    <t>C744189981</t>
  </si>
  <si>
    <t>C1406193485</t>
  </si>
  <si>
    <t>C1774146551</t>
  </si>
  <si>
    <t>C325534370</t>
  </si>
  <si>
    <t>C1320946922</t>
  </si>
  <si>
    <t>C2120613885</t>
  </si>
  <si>
    <t>C60911281</t>
  </si>
  <si>
    <t>C907499666</t>
  </si>
  <si>
    <t>C1087955840</t>
  </si>
  <si>
    <t>C294810721</t>
  </si>
  <si>
    <t>C735186749</t>
  </si>
  <si>
    <t>C1767067167</t>
  </si>
  <si>
    <t>C1789550256</t>
  </si>
  <si>
    <t>C1687607266</t>
  </si>
  <si>
    <t>C1847853864</t>
  </si>
  <si>
    <t>C1757599079</t>
  </si>
  <si>
    <t>time_period</t>
  </si>
  <si>
    <t>total_txns</t>
  </si>
  <si>
    <t>fraud_count</t>
  </si>
  <si>
    <t>Business hours (06-22)</t>
  </si>
  <si>
    <t>Off-hours (22-06)</t>
  </si>
  <si>
    <t>Anomaly Type</t>
  </si>
  <si>
    <t>Detection Method</t>
  </si>
  <si>
    <t>Flagged</t>
  </si>
  <si>
    <t>% of Total</t>
  </si>
  <si>
    <t>Confirmed Fraud</t>
  </si>
  <si>
    <t>Precision Rate</t>
  </si>
  <si>
    <t>Key Finding</t>
  </si>
  <si>
    <t>Recommended Control</t>
  </si>
  <si>
    <t>Large Transaction Outlier</t>
  </si>
  <si>
    <t>Z-score &gt; 3 standard deviations above type mean</t>
  </si>
  <si>
    <t>Precision rate is 102x the baseline fraud rate of 0.129%</t>
  </si>
  <si>
    <t>Automated hold on TRANSFER and CASH_OUT transactions exceeding 3 standard deviations above mean, pending manual review</t>
  </si>
  <si>
    <t>Payee Concentration</t>
  </si>
  <si>
    <t>Top 25 recipients by total value received</t>
  </si>
  <si>
    <t>N/A</t>
  </si>
  <si>
    <t>No concentration pattern detected — fraud is distributed across many recipients rather than concentrated accounts</t>
  </si>
  <si>
    <t>Enhanced due diligence monitoring on any recipient receiving more than 1% of monthly transaction volume</t>
  </si>
  <si>
    <t>Off-Hours Timing</t>
  </si>
  <si>
    <t>Transactions between 22:00–06:00 (step % 24)</t>
  </si>
  <si>
    <t>7% of volume</t>
  </si>
  <si>
    <t>Off-hours transactions are 6.4x more likely to be fraudulent despite representing only 7% of volume</t>
  </si>
  <si>
    <t>Require step-up authentication for TRANSFER and CASH_OUT transactions initiated between 22:00–06:00</t>
  </si>
  <si>
    <t>Near-Duplicate Payment</t>
  </si>
  <si>
    <t>Same sender, recipient, amount ±1, within 24 hours</t>
  </si>
  <si>
    <t>Pattern not present in synthetic dataset — recommend testing against live transaction data</t>
  </si>
  <si>
    <t>Implement duplicate payment detection rule in production transaction monitoring system</t>
  </si>
  <si>
    <t>type</t>
  </si>
  <si>
    <t>avg_amount</t>
  </si>
  <si>
    <t>txn_count</t>
  </si>
  <si>
    <t>max_amount</t>
  </si>
  <si>
    <t>MEMORANDUM</t>
  </si>
  <si>
    <r>
      <t>To:</t>
    </r>
    <r>
      <rPr>
        <sz val="12"/>
        <color theme="1"/>
        <rFont val="Calibri"/>
        <family val="2"/>
        <scheme val="minor"/>
      </rPr>
      <t xml:space="preserve"> — Head of Financial Controls</t>
    </r>
  </si>
  <si>
    <r>
      <t>From:</t>
    </r>
    <r>
      <rPr>
        <sz val="12"/>
        <color theme="1"/>
        <rFont val="Calibri"/>
        <family val="2"/>
        <scheme val="minor"/>
      </rPr>
      <t xml:space="preserve"> — Simran Anand</t>
    </r>
  </si>
  <si>
    <r>
      <t>Date:</t>
    </r>
    <r>
      <rPr>
        <sz val="12"/>
        <color theme="1"/>
        <rFont val="Calibri"/>
        <family val="2"/>
        <scheme val="minor"/>
      </rPr>
      <t xml:space="preserve"> —12th April 2026</t>
    </r>
  </si>
  <si>
    <r>
      <t>Re:</t>
    </r>
    <r>
      <rPr>
        <sz val="12"/>
        <color theme="1"/>
        <rFont val="Calibri"/>
        <family val="2"/>
        <scheme val="minor"/>
      </rPr>
      <t xml:space="preserve"> — Anomaly Detection Review — Synthetic Financial Transaction Dataset</t>
    </r>
  </si>
  <si>
    <t>1. BACKGROUND</t>
  </si>
  <si>
    <t>Dataset: PaySim synthetic financial transactions — 6,362,620 transactions across 30 days, five transaction types. Four anomaly types tested using pre-defined detection thresholds established prior to data exploration. Tool: SQL (SQLite). Ground truth fraud label (isFraud) used to validate all findings.</t>
  </si>
  <si>
    <t>2. KEY FINDINGS</t>
  </si>
  <si>
    <t>Finding 1: Fraud is entirely concentrated in two transaction types — TRANSFER (0.769% fraud rate) and CASH_OUT (0.184% fraud rate). PAYMENT, CASH_IN, and DEBIT show zero fraud. All controls should focus exclusively on these two types.</t>
  </si>
  <si>
    <t>Finding 2: Large transaction outlier detection flagged 14,602 transactions using a z-score threshold of 3 standard deviations above the type mean. Of these, 1,920 were confirmed fraud — a precision rate of 13.15%, which is 102x the baseline fraud rate of 0.129%.</t>
  </si>
  <si>
    <t>Finding 3: Off-hours transactions (22:00–06:00) show a fraud rate of 0.5954% versus 0.0937% during business hours — 6.4x higher. Despite representing only 7% of total transaction volume, off-hours transactions account for 32.5% of all confirmed fraud (2,670 out of 8,213 total fraud cases).</t>
  </si>
  <si>
    <t>3. RECOMMENDED CONTROLS</t>
  </si>
  <si>
    <t>Control 1: Implement automated transaction hold on all TRANSFER and CASH_OUT transactions exceeding 3 standard deviations above the type mean, pending dual authorisation review. Estimated impact: 14,602 transactions flagged per 6.3M, with 13.15% confirmed fraud rate.</t>
  </si>
  <si>
    <t>Control 2: Apply step-up authentication (e.g. secondary SMS verification) for all TRANSFER and CASH_OUT transactions initiated between 22:00 and 06:00. Estimated impact: would have intercepted 32.5% of all fraud in this dataset.</t>
  </si>
  <si>
    <t>Control 3: Deploy near-duplicate payment detection rule in production transaction monitoring system. Pattern was not present in synthetic dataset but is commonly observed in real-world payment fraud and money laundering schemes.</t>
  </si>
  <si>
    <t>4. LIMITATIONS</t>
  </si>
  <si>
    <t>This analysis was conducted on a synthetic dataset (PaySim) which simulates but does not perfectly replicate real-world transaction patterns. Detection thresholds were pre-defined prior to data exploration to avoid confirmation bias, but would require calibration against historical confirmed fraud cases before production deployment. Near-duplicate detection returned zero matches — this pattern may be more prevalent in live transaction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</si>
</sst>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6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Fraud rate concentrates entirely in TRANSFER and CASH_OUT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Baseline!$F$1</c:f>
              <c:strCache>
                <c:ptCount val="1"/>
                <c:pt idx="0">
                  <c:v>fraud_rate_pct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Baseline!$A$2:$A$6</c:f>
              <c:strCache>
                <c:ptCount val="5"/>
                <c:pt idx="0">
                  <c:v>CASH_OUT</c:v>
                </c:pt>
                <c:pt idx="1">
                  <c:v>PAYMENT</c:v>
                </c:pt>
                <c:pt idx="2">
                  <c:v>CASH_IN</c:v>
                </c:pt>
                <c:pt idx="3">
                  <c:v>TRANSFER</c:v>
                </c:pt>
                <c:pt idx="4">
                  <c:v>DEBIT</c:v>
                </c:pt>
              </c:strCache>
            </c:strRef>
          </c:cat>
          <c:val>
            <c:numRef>
              <c:f>Baseline!$F$2:$F$6</c:f>
              <c:numCache>
                <c:formatCode>General</c:formatCode>
                <c:ptCount val="5"/>
                <c:pt idx="0">
                  <c:v>0.184</c:v>
                </c:pt>
                <c:pt idx="1">
                  <c:v>0</c:v>
                </c:pt>
                <c:pt idx="2">
                  <c:v>0</c:v>
                </c:pt>
                <c:pt idx="3">
                  <c:v>0.76900000000000002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4-A140-BAD4-F62048C10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692287"/>
        <c:axId val="1769756479"/>
      </c:barChart>
      <c:catAx>
        <c:axId val="157669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756479"/>
        <c:crosses val="autoZero"/>
        <c:auto val="1"/>
        <c:lblAlgn val="ctr"/>
        <c:lblOffset val="100"/>
        <c:noMultiLvlLbl val="0"/>
      </c:catAx>
      <c:valAx>
        <c:axId val="176975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9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Off-hours transactions are 6.4x more likely to be fraudulent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'Timing Analysis'!$D$1</c:f>
              <c:strCache>
                <c:ptCount val="1"/>
                <c:pt idx="0">
                  <c:v>fraud_rate_pct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'Timing Analysis'!$A$2:$A$3</c:f>
              <c:strCache>
                <c:ptCount val="2"/>
                <c:pt idx="0">
                  <c:v>Business hours (06-22)</c:v>
                </c:pt>
                <c:pt idx="1">
                  <c:v>Off-hours (22-06)</c:v>
                </c:pt>
              </c:strCache>
            </c:strRef>
          </c:cat>
          <c:val>
            <c:numRef>
              <c:f>'Timing Analysis'!$D$2:$D$3</c:f>
              <c:numCache>
                <c:formatCode>General</c:formatCode>
                <c:ptCount val="2"/>
                <c:pt idx="0">
                  <c:v>9.3700000000000006E-2</c:v>
                </c:pt>
                <c:pt idx="1">
                  <c:v>0.59540000000000004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6-3142-9CEF-C682A1FC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421391"/>
        <c:axId val="1512603839"/>
      </c:barChart>
      <c:catAx>
        <c:axId val="16454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03839"/>
        <c:crosses val="autoZero"/>
        <c:auto val="1"/>
        <c:lblAlgn val="ctr"/>
        <c:lblOffset val="100"/>
        <c:noMultiLvlLbl val="0"/>
      </c:catAx>
      <c:valAx>
        <c:axId val="151260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2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recipients by total transaction value received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Payee_Concentration!$C$1</c:f>
              <c:strCache>
                <c:ptCount val="1"/>
                <c:pt idx="0">
                  <c:v>total_received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Payee_Concentration!$A$2:$A$11</c:f>
              <c:strCache>
                <c:ptCount val="10"/>
                <c:pt idx="0">
                  <c:v>C439737079</c:v>
                </c:pt>
                <c:pt idx="1">
                  <c:v>C707403537</c:v>
                </c:pt>
                <c:pt idx="2">
                  <c:v>C167875008</c:v>
                </c:pt>
                <c:pt idx="3">
                  <c:v>C20253152</c:v>
                </c:pt>
                <c:pt idx="4">
                  <c:v>C172409641</c:v>
                </c:pt>
                <c:pt idx="5">
                  <c:v>C268913927</c:v>
                </c:pt>
                <c:pt idx="6">
                  <c:v>C65111466</c:v>
                </c:pt>
                <c:pt idx="7">
                  <c:v>C936857833</c:v>
                </c:pt>
                <c:pt idx="8">
                  <c:v>C310383504</c:v>
                </c:pt>
                <c:pt idx="9">
                  <c:v>C744189981</c:v>
                </c:pt>
              </c:strCache>
            </c:strRef>
          </c:cat>
          <c:val>
            <c:numRef>
              <c:f>Payee_Concentration!$C$2:$C$11</c:f>
              <c:numCache>
                <c:formatCode>General</c:formatCode>
                <c:ptCount val="10"/>
                <c:pt idx="0">
                  <c:v>356810055.19999999</c:v>
                </c:pt>
                <c:pt idx="1">
                  <c:v>299153669.69999999</c:v>
                </c:pt>
                <c:pt idx="2">
                  <c:v>273927023</c:v>
                </c:pt>
                <c:pt idx="3">
                  <c:v>269723572</c:v>
                </c:pt>
                <c:pt idx="4">
                  <c:v>253206464.30000001</c:v>
                </c:pt>
                <c:pt idx="5">
                  <c:v>252257374.5</c:v>
                </c:pt>
                <c:pt idx="6">
                  <c:v>226929090.30000001</c:v>
                </c:pt>
                <c:pt idx="7">
                  <c:v>225522036.5</c:v>
                </c:pt>
                <c:pt idx="8">
                  <c:v>223503958.90000001</c:v>
                </c:pt>
                <c:pt idx="9">
                  <c:v>223183432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0-564B-866D-5C550F89B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980543"/>
        <c:axId val="1573952559"/>
      </c:barChart>
      <c:catAx>
        <c:axId val="15739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52559"/>
        <c:crosses val="autoZero"/>
        <c:auto val="1"/>
        <c:lblAlgn val="ctr"/>
        <c:lblOffset val="100"/>
        <c:noMultiLvlLbl val="0"/>
      </c:catAx>
      <c:valAx>
        <c:axId val="15739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8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recipients by total transaction value received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Payee_Concentration!$C$1</c:f>
              <c:strCache>
                <c:ptCount val="1"/>
                <c:pt idx="0">
                  <c:v>total_received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Payee_Concentration!$A$2:$A$11</c:f>
              <c:strCache>
                <c:ptCount val="10"/>
                <c:pt idx="0">
                  <c:v>C439737079</c:v>
                </c:pt>
                <c:pt idx="1">
                  <c:v>C707403537</c:v>
                </c:pt>
                <c:pt idx="2">
                  <c:v>C167875008</c:v>
                </c:pt>
                <c:pt idx="3">
                  <c:v>C20253152</c:v>
                </c:pt>
                <c:pt idx="4">
                  <c:v>C172409641</c:v>
                </c:pt>
                <c:pt idx="5">
                  <c:v>C268913927</c:v>
                </c:pt>
                <c:pt idx="6">
                  <c:v>C65111466</c:v>
                </c:pt>
                <c:pt idx="7">
                  <c:v>C936857833</c:v>
                </c:pt>
                <c:pt idx="8">
                  <c:v>C310383504</c:v>
                </c:pt>
                <c:pt idx="9">
                  <c:v>C744189981</c:v>
                </c:pt>
              </c:strCache>
            </c:strRef>
          </c:cat>
          <c:val>
            <c:numRef>
              <c:f>Payee_Concentration!$C$2:$C$11</c:f>
              <c:numCache>
                <c:formatCode>General</c:formatCode>
                <c:ptCount val="10"/>
                <c:pt idx="0">
                  <c:v>356810055.19999999</c:v>
                </c:pt>
                <c:pt idx="1">
                  <c:v>299153669.69999999</c:v>
                </c:pt>
                <c:pt idx="2">
                  <c:v>273927023</c:v>
                </c:pt>
                <c:pt idx="3">
                  <c:v>269723572</c:v>
                </c:pt>
                <c:pt idx="4">
                  <c:v>253206464.30000001</c:v>
                </c:pt>
                <c:pt idx="5">
                  <c:v>252257374.5</c:v>
                </c:pt>
                <c:pt idx="6">
                  <c:v>226929090.30000001</c:v>
                </c:pt>
                <c:pt idx="7">
                  <c:v>225522036.5</c:v>
                </c:pt>
                <c:pt idx="8">
                  <c:v>223503958.90000001</c:v>
                </c:pt>
                <c:pt idx="9">
                  <c:v>223183432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1-4A47-9E90-26F2D9744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980543"/>
        <c:axId val="1573952559"/>
      </c:barChart>
      <c:catAx>
        <c:axId val="15739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52559"/>
        <c:crosses val="autoZero"/>
        <c:auto val="1"/>
        <c:lblAlgn val="ctr"/>
        <c:lblOffset val="100"/>
        <c:noMultiLvlLbl val="0"/>
      </c:catAx>
      <c:valAx>
        <c:axId val="15739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8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2882900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2057B-1780-E24A-8331-E2C73CF36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</xdr:col>
      <xdr:colOff>2882900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BEA122-6CF8-774F-9B0B-A23C622A9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</xdr:col>
      <xdr:colOff>2882900</xdr:colOff>
      <xdr:row>50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BF059F-8E10-E542-B6BF-107081E6C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12</xdr:row>
      <xdr:rowOff>165100</xdr:rowOff>
    </xdr:from>
    <xdr:to>
      <xdr:col>11</xdr:col>
      <xdr:colOff>127000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9A4FC-C0E5-C849-4E84-EBAAAA89B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046C-C74A-D240-BD3F-8A3595111ED0}">
  <dimension ref="A1:H5"/>
  <sheetViews>
    <sheetView tabSelected="1" topLeftCell="F1" workbookViewId="0">
      <selection activeCell="H1" sqref="H1"/>
    </sheetView>
  </sheetViews>
  <sheetFormatPr baseColWidth="10" defaultRowHeight="16" x14ac:dyDescent="0.2"/>
  <cols>
    <col min="1" max="1" width="22.1640625" bestFit="1" customWidth="1"/>
    <col min="2" max="2" width="44.33203125" bestFit="1" customWidth="1"/>
    <col min="3" max="3" width="8.1640625" bestFit="1" customWidth="1"/>
    <col min="4" max="4" width="12.33203125" bestFit="1" customWidth="1"/>
    <col min="5" max="5" width="14.83203125" bestFit="1" customWidth="1"/>
    <col min="6" max="6" width="12.83203125" bestFit="1" customWidth="1"/>
    <col min="7" max="7" width="98.1640625" bestFit="1" customWidth="1"/>
    <col min="8" max="8" width="110.1640625" bestFit="1" customWidth="1"/>
  </cols>
  <sheetData>
    <row r="1" spans="1:8" x14ac:dyDescent="0.2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</row>
    <row r="2" spans="1:8" x14ac:dyDescent="0.2">
      <c r="A2" t="s">
        <v>53</v>
      </c>
      <c r="B2" t="s">
        <v>54</v>
      </c>
      <c r="C2" s="4">
        <v>14602</v>
      </c>
      <c r="D2" s="5">
        <v>2.3E-3</v>
      </c>
      <c r="E2" s="4">
        <v>1920</v>
      </c>
      <c r="F2" s="5">
        <v>0.13150000000000001</v>
      </c>
      <c r="G2" t="s">
        <v>55</v>
      </c>
      <c r="H2" t="s">
        <v>56</v>
      </c>
    </row>
    <row r="3" spans="1:8" x14ac:dyDescent="0.2">
      <c r="A3" t="s">
        <v>57</v>
      </c>
      <c r="B3" t="s">
        <v>58</v>
      </c>
      <c r="C3">
        <v>25</v>
      </c>
      <c r="D3" t="s">
        <v>59</v>
      </c>
      <c r="E3">
        <v>0</v>
      </c>
      <c r="F3" s="6">
        <v>0</v>
      </c>
      <c r="G3" t="s">
        <v>60</v>
      </c>
      <c r="H3" t="s">
        <v>61</v>
      </c>
    </row>
    <row r="4" spans="1:8" x14ac:dyDescent="0.2">
      <c r="A4" t="s">
        <v>62</v>
      </c>
      <c r="B4" t="s">
        <v>63</v>
      </c>
      <c r="C4" s="4">
        <v>448417</v>
      </c>
      <c r="D4" t="s">
        <v>64</v>
      </c>
      <c r="E4" s="4">
        <v>2670</v>
      </c>
      <c r="F4" s="5">
        <v>5.9540000000000001E-3</v>
      </c>
      <c r="G4" t="s">
        <v>65</v>
      </c>
      <c r="H4" t="s">
        <v>66</v>
      </c>
    </row>
    <row r="5" spans="1:8" x14ac:dyDescent="0.2">
      <c r="A5" t="s">
        <v>67</v>
      </c>
      <c r="B5" t="s">
        <v>68</v>
      </c>
      <c r="C5">
        <v>0</v>
      </c>
      <c r="D5" s="6">
        <v>0</v>
      </c>
      <c r="E5">
        <v>0</v>
      </c>
      <c r="F5" t="s">
        <v>59</v>
      </c>
      <c r="G5" t="s">
        <v>69</v>
      </c>
      <c r="H5" t="s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C9BF-1DF7-674D-90A0-7B27C742D0BC}">
  <dimension ref="A1:A26"/>
  <sheetViews>
    <sheetView showGridLines="0" workbookViewId="0">
      <selection activeCell="A17" sqref="A17"/>
    </sheetView>
  </sheetViews>
  <sheetFormatPr baseColWidth="10" defaultRowHeight="16" x14ac:dyDescent="0.2"/>
  <cols>
    <col min="1" max="1" width="255.83203125" bestFit="1" customWidth="1"/>
  </cols>
  <sheetData>
    <row r="1" spans="1:1" ht="21" x14ac:dyDescent="0.25">
      <c r="A1" s="8" t="s">
        <v>75</v>
      </c>
    </row>
    <row r="3" spans="1:1" ht="17" x14ac:dyDescent="0.25">
      <c r="A3" s="9" t="s">
        <v>76</v>
      </c>
    </row>
    <row r="4" spans="1:1" ht="17" x14ac:dyDescent="0.25">
      <c r="A4" s="9" t="s">
        <v>77</v>
      </c>
    </row>
    <row r="5" spans="1:1" ht="17" x14ac:dyDescent="0.25">
      <c r="A5" s="9" t="s">
        <v>78</v>
      </c>
    </row>
    <row r="6" spans="1:1" ht="17" x14ac:dyDescent="0.25">
      <c r="A6" s="9" t="s">
        <v>79</v>
      </c>
    </row>
    <row r="8" spans="1:1" x14ac:dyDescent="0.2">
      <c r="A8" s="3" t="s">
        <v>80</v>
      </c>
    </row>
    <row r="9" spans="1:1" x14ac:dyDescent="0.2">
      <c r="A9" t="s">
        <v>81</v>
      </c>
    </row>
    <row r="11" spans="1:1" x14ac:dyDescent="0.2">
      <c r="A11" s="3" t="s">
        <v>82</v>
      </c>
    </row>
    <row r="12" spans="1:1" x14ac:dyDescent="0.2">
      <c r="A12" t="s">
        <v>83</v>
      </c>
    </row>
    <row r="14" spans="1:1" x14ac:dyDescent="0.2">
      <c r="A14" t="s">
        <v>84</v>
      </c>
    </row>
    <row r="16" spans="1:1" x14ac:dyDescent="0.2">
      <c r="A16" t="s">
        <v>85</v>
      </c>
    </row>
    <row r="18" spans="1:1" x14ac:dyDescent="0.2">
      <c r="A18" s="3" t="s">
        <v>86</v>
      </c>
    </row>
    <row r="19" spans="1:1" x14ac:dyDescent="0.2">
      <c r="A19" t="s">
        <v>87</v>
      </c>
    </row>
    <row r="21" spans="1:1" x14ac:dyDescent="0.2">
      <c r="A21" t="s">
        <v>88</v>
      </c>
    </row>
    <row r="23" spans="1:1" x14ac:dyDescent="0.2">
      <c r="A23" t="s">
        <v>89</v>
      </c>
    </row>
    <row r="25" spans="1:1" x14ac:dyDescent="0.2">
      <c r="A25" s="3" t="s">
        <v>90</v>
      </c>
    </row>
    <row r="26" spans="1:1" x14ac:dyDescent="0.2">
      <c r="A2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1CC2-A41E-B442-81A8-FA4229D4B4C2}">
  <dimension ref="A1:F6"/>
  <sheetViews>
    <sheetView workbookViewId="0">
      <selection activeCell="L9" sqref="L9"/>
    </sheetView>
  </sheetViews>
  <sheetFormatPr baseColWidth="10" defaultRowHeight="16" x14ac:dyDescent="0.2"/>
  <cols>
    <col min="4" max="5" width="14.83203125" bestFit="1" customWidth="1"/>
    <col min="6" max="6" width="13.33203125" bestFit="1" customWidth="1"/>
  </cols>
  <sheetData>
    <row r="1" spans="1:6" x14ac:dyDescent="0.2">
      <c r="A1" t="s">
        <v>71</v>
      </c>
      <c r="B1" t="s">
        <v>73</v>
      </c>
      <c r="C1" t="s">
        <v>72</v>
      </c>
      <c r="D1" t="s">
        <v>74</v>
      </c>
      <c r="E1" t="s">
        <v>7</v>
      </c>
      <c r="F1" t="s">
        <v>14</v>
      </c>
    </row>
    <row r="2" spans="1:6" x14ac:dyDescent="0.2">
      <c r="A2" s="2" t="s">
        <v>1</v>
      </c>
      <c r="B2" s="2">
        <v>2237500</v>
      </c>
      <c r="C2" s="2">
        <v>176273.96</v>
      </c>
      <c r="D2" s="2">
        <v>10000000</v>
      </c>
      <c r="E2" s="2">
        <v>4116</v>
      </c>
      <c r="F2" s="2">
        <v>0.184</v>
      </c>
    </row>
    <row r="3" spans="1:6" x14ac:dyDescent="0.2">
      <c r="A3" s="2" t="s">
        <v>2</v>
      </c>
      <c r="B3" s="2">
        <v>2151495</v>
      </c>
      <c r="C3" s="2">
        <v>13057.6</v>
      </c>
      <c r="D3" s="2">
        <v>238637.98</v>
      </c>
      <c r="E3" s="2">
        <v>0</v>
      </c>
      <c r="F3" s="2">
        <v>0</v>
      </c>
    </row>
    <row r="4" spans="1:6" x14ac:dyDescent="0.2">
      <c r="A4" s="2" t="s">
        <v>3</v>
      </c>
      <c r="B4" s="2">
        <v>1399284</v>
      </c>
      <c r="C4" s="2">
        <v>168920.24</v>
      </c>
      <c r="D4" s="2">
        <v>1915267.9</v>
      </c>
      <c r="E4" s="2">
        <v>0</v>
      </c>
      <c r="F4" s="2">
        <v>0</v>
      </c>
    </row>
    <row r="5" spans="1:6" x14ac:dyDescent="0.2">
      <c r="A5" s="2" t="s">
        <v>4</v>
      </c>
      <c r="B5" s="2">
        <v>532909</v>
      </c>
      <c r="C5" s="2">
        <v>910647.01</v>
      </c>
      <c r="D5" s="2">
        <v>92445516.640000001</v>
      </c>
      <c r="E5" s="2">
        <v>4097</v>
      </c>
      <c r="F5" s="2">
        <v>0.76900000000000002</v>
      </c>
    </row>
    <row r="6" spans="1:6" x14ac:dyDescent="0.2">
      <c r="A6" s="2" t="s">
        <v>5</v>
      </c>
      <c r="B6" s="2">
        <v>41432</v>
      </c>
      <c r="C6" s="2">
        <v>5483.67</v>
      </c>
      <c r="D6" s="2">
        <v>569077.51</v>
      </c>
      <c r="E6" s="2">
        <v>0</v>
      </c>
      <c r="F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2D7B-C9D2-A64B-AD29-2E9300CA88AE}">
  <dimension ref="A1:C2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s="1" t="s">
        <v>6</v>
      </c>
      <c r="B1" s="1" t="s">
        <v>7</v>
      </c>
      <c r="C1" s="1" t="s">
        <v>8</v>
      </c>
    </row>
    <row r="2" spans="1:3" x14ac:dyDescent="0.2">
      <c r="A2" s="2">
        <v>14602</v>
      </c>
      <c r="B2" s="2">
        <v>1920</v>
      </c>
      <c r="C2" s="2">
        <v>13.15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B99F-4611-F34D-B8A9-08BD7C2ED882}">
  <dimension ref="A1:F26"/>
  <sheetViews>
    <sheetView workbookViewId="0">
      <selection activeCell="J9" sqref="J9"/>
    </sheetView>
  </sheetViews>
  <sheetFormatPr baseColWidth="10" defaultRowHeight="16" x14ac:dyDescent="0.2"/>
  <cols>
    <col min="6" max="6" width="13" bestFit="1" customWidth="1"/>
  </cols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s="1" t="s">
        <v>15</v>
      </c>
      <c r="B2" s="2">
        <v>13</v>
      </c>
      <c r="C2" s="2">
        <v>356810055.19999999</v>
      </c>
      <c r="D2" s="2">
        <v>3.1199999999999999E-2</v>
      </c>
      <c r="E2" s="2">
        <v>0</v>
      </c>
      <c r="F2" s="2">
        <v>0</v>
      </c>
    </row>
    <row r="3" spans="1:6" x14ac:dyDescent="0.2">
      <c r="A3" s="1" t="s">
        <v>16</v>
      </c>
      <c r="B3" s="2">
        <v>15</v>
      </c>
      <c r="C3" s="2">
        <v>299153669.69999999</v>
      </c>
      <c r="D3" s="2">
        <v>2.6100000000000002E-2</v>
      </c>
      <c r="E3" s="2">
        <v>0</v>
      </c>
      <c r="F3" s="2">
        <v>0</v>
      </c>
    </row>
    <row r="4" spans="1:6" x14ac:dyDescent="0.2">
      <c r="A4" s="1" t="s">
        <v>17</v>
      </c>
      <c r="B4" s="2">
        <v>21</v>
      </c>
      <c r="C4" s="2">
        <v>273927023</v>
      </c>
      <c r="D4" s="2">
        <v>2.3900000000000001E-2</v>
      </c>
      <c r="E4" s="2">
        <v>0</v>
      </c>
      <c r="F4" s="2">
        <v>0</v>
      </c>
    </row>
    <row r="5" spans="1:6" x14ac:dyDescent="0.2">
      <c r="A5" s="1" t="s">
        <v>18</v>
      </c>
      <c r="B5" s="2">
        <v>18</v>
      </c>
      <c r="C5" s="2">
        <v>269723572</v>
      </c>
      <c r="D5" s="2">
        <v>2.3599999999999999E-2</v>
      </c>
      <c r="E5" s="2">
        <v>0</v>
      </c>
      <c r="F5" s="2">
        <v>0</v>
      </c>
    </row>
    <row r="6" spans="1:6" x14ac:dyDescent="0.2">
      <c r="A6" s="1" t="s">
        <v>19</v>
      </c>
      <c r="B6" s="2">
        <v>46</v>
      </c>
      <c r="C6" s="2">
        <v>253206464.30000001</v>
      </c>
      <c r="D6" s="2">
        <v>2.2100000000000002E-2</v>
      </c>
      <c r="E6" s="2">
        <v>0</v>
      </c>
      <c r="F6" s="2">
        <v>0</v>
      </c>
    </row>
    <row r="7" spans="1:6" x14ac:dyDescent="0.2">
      <c r="A7" s="1" t="s">
        <v>20</v>
      </c>
      <c r="B7" s="2">
        <v>26</v>
      </c>
      <c r="C7" s="2">
        <v>252257374.5</v>
      </c>
      <c r="D7" s="2">
        <v>2.1999999999999999E-2</v>
      </c>
      <c r="E7" s="2">
        <v>0</v>
      </c>
      <c r="F7" s="2">
        <v>0</v>
      </c>
    </row>
    <row r="8" spans="1:6" x14ac:dyDescent="0.2">
      <c r="A8" s="1" t="s">
        <v>21</v>
      </c>
      <c r="B8" s="2">
        <v>17</v>
      </c>
      <c r="C8" s="2">
        <v>226929090.30000001</v>
      </c>
      <c r="D8" s="2">
        <v>1.9800000000000002E-2</v>
      </c>
      <c r="E8" s="2">
        <v>1</v>
      </c>
      <c r="F8" s="2">
        <v>5.88</v>
      </c>
    </row>
    <row r="9" spans="1:6" x14ac:dyDescent="0.2">
      <c r="A9" s="1" t="s">
        <v>22</v>
      </c>
      <c r="B9" s="2">
        <v>37</v>
      </c>
      <c r="C9" s="2">
        <v>225522036.5</v>
      </c>
      <c r="D9" s="2">
        <v>1.9699999999999999E-2</v>
      </c>
      <c r="E9" s="2">
        <v>0</v>
      </c>
      <c r="F9" s="2">
        <v>0</v>
      </c>
    </row>
    <row r="10" spans="1:6" x14ac:dyDescent="0.2">
      <c r="A10" s="1" t="s">
        <v>23</v>
      </c>
      <c r="B10" s="2">
        <v>17</v>
      </c>
      <c r="C10" s="2">
        <v>223503958.90000001</v>
      </c>
      <c r="D10" s="2">
        <v>1.95E-2</v>
      </c>
      <c r="E10" s="2">
        <v>0</v>
      </c>
      <c r="F10" s="2">
        <v>0</v>
      </c>
    </row>
    <row r="11" spans="1:6" x14ac:dyDescent="0.2">
      <c r="A11" s="1" t="s">
        <v>24</v>
      </c>
      <c r="B11" s="2">
        <v>17</v>
      </c>
      <c r="C11" s="2">
        <v>223183432</v>
      </c>
      <c r="D11" s="2">
        <v>1.95E-2</v>
      </c>
      <c r="E11" s="2">
        <v>0</v>
      </c>
      <c r="F11" s="2">
        <v>0</v>
      </c>
    </row>
    <row r="12" spans="1:6" x14ac:dyDescent="0.2">
      <c r="A12" s="1" t="s">
        <v>25</v>
      </c>
      <c r="B12" s="2">
        <v>35</v>
      </c>
      <c r="C12" s="2">
        <v>222470276.90000001</v>
      </c>
      <c r="D12" s="2">
        <v>1.9400000000000001E-2</v>
      </c>
      <c r="E12" s="2">
        <v>0</v>
      </c>
      <c r="F12" s="2">
        <v>0</v>
      </c>
    </row>
    <row r="13" spans="1:6" x14ac:dyDescent="0.2">
      <c r="A13" s="1" t="s">
        <v>26</v>
      </c>
      <c r="B13" s="2">
        <v>40</v>
      </c>
      <c r="C13" s="2">
        <v>212029050.19999999</v>
      </c>
      <c r="D13" s="2">
        <v>1.8499999999999999E-2</v>
      </c>
      <c r="E13" s="2">
        <v>0</v>
      </c>
      <c r="F13" s="2">
        <v>0</v>
      </c>
    </row>
    <row r="14" spans="1:6" x14ac:dyDescent="0.2">
      <c r="A14" s="1" t="s">
        <v>27</v>
      </c>
      <c r="B14" s="2">
        <v>29</v>
      </c>
      <c r="C14" s="2">
        <v>208094844.69999999</v>
      </c>
      <c r="D14" s="2">
        <v>1.8200000000000001E-2</v>
      </c>
      <c r="E14" s="2">
        <v>0</v>
      </c>
      <c r="F14" s="2">
        <v>0</v>
      </c>
    </row>
    <row r="15" spans="1:6" x14ac:dyDescent="0.2">
      <c r="A15" s="1" t="s">
        <v>28</v>
      </c>
      <c r="B15" s="2">
        <v>14</v>
      </c>
      <c r="C15" s="2">
        <v>205487239.09999999</v>
      </c>
      <c r="D15" s="2">
        <v>1.7999999999999999E-2</v>
      </c>
      <c r="E15" s="2">
        <v>0</v>
      </c>
      <c r="F15" s="2">
        <v>0</v>
      </c>
    </row>
    <row r="16" spans="1:6" x14ac:dyDescent="0.2">
      <c r="A16" s="1" t="s">
        <v>29</v>
      </c>
      <c r="B16" s="2">
        <v>11</v>
      </c>
      <c r="C16" s="2">
        <v>200164990.80000001</v>
      </c>
      <c r="D16" s="2">
        <v>1.7500000000000002E-2</v>
      </c>
      <c r="E16" s="2">
        <v>0</v>
      </c>
      <c r="F16" s="2">
        <v>0</v>
      </c>
    </row>
    <row r="17" spans="1:6" x14ac:dyDescent="0.2">
      <c r="A17" s="1" t="s">
        <v>30</v>
      </c>
      <c r="B17" s="2">
        <v>9</v>
      </c>
      <c r="C17" s="2">
        <v>178312185.80000001</v>
      </c>
      <c r="D17" s="2">
        <v>1.5599999999999999E-2</v>
      </c>
      <c r="E17" s="2">
        <v>0</v>
      </c>
      <c r="F17" s="2">
        <v>0</v>
      </c>
    </row>
    <row r="18" spans="1:6" x14ac:dyDescent="0.2">
      <c r="A18" s="1" t="s">
        <v>31</v>
      </c>
      <c r="B18" s="2">
        <v>9</v>
      </c>
      <c r="C18" s="2">
        <v>175645330.59999999</v>
      </c>
      <c r="D18" s="2">
        <v>1.5299999999999999E-2</v>
      </c>
      <c r="E18" s="2">
        <v>0</v>
      </c>
      <c r="F18" s="2">
        <v>0</v>
      </c>
    </row>
    <row r="19" spans="1:6" x14ac:dyDescent="0.2">
      <c r="A19" s="1" t="s">
        <v>32</v>
      </c>
      <c r="B19" s="2">
        <v>13</v>
      </c>
      <c r="C19" s="2">
        <v>175611360.90000001</v>
      </c>
      <c r="D19" s="2">
        <v>1.5299999999999999E-2</v>
      </c>
      <c r="E19" s="2">
        <v>0</v>
      </c>
      <c r="F19" s="2">
        <v>0</v>
      </c>
    </row>
    <row r="20" spans="1:6" x14ac:dyDescent="0.2">
      <c r="A20" s="1" t="s">
        <v>33</v>
      </c>
      <c r="B20" s="2">
        <v>13</v>
      </c>
      <c r="C20" s="2">
        <v>175374994.5</v>
      </c>
      <c r="D20" s="2">
        <v>1.5299999999999999E-2</v>
      </c>
      <c r="E20" s="2">
        <v>0</v>
      </c>
      <c r="F20" s="2">
        <v>0</v>
      </c>
    </row>
    <row r="21" spans="1:6" x14ac:dyDescent="0.2">
      <c r="A21" s="1" t="s">
        <v>34</v>
      </c>
      <c r="B21" s="2">
        <v>24</v>
      </c>
      <c r="C21" s="2">
        <v>172358835.30000001</v>
      </c>
      <c r="D21" s="2">
        <v>1.5100000000000001E-2</v>
      </c>
      <c r="E21" s="2">
        <v>0</v>
      </c>
      <c r="F21" s="2">
        <v>0</v>
      </c>
    </row>
    <row r="22" spans="1:6" x14ac:dyDescent="0.2">
      <c r="A22" s="1" t="s">
        <v>35</v>
      </c>
      <c r="B22" s="2">
        <v>38</v>
      </c>
      <c r="C22" s="2">
        <v>171375345</v>
      </c>
      <c r="D22" s="2">
        <v>1.4999999999999999E-2</v>
      </c>
      <c r="E22" s="2">
        <v>0</v>
      </c>
      <c r="F22" s="2">
        <v>0</v>
      </c>
    </row>
    <row r="23" spans="1:6" x14ac:dyDescent="0.2">
      <c r="A23" s="1" t="s">
        <v>36</v>
      </c>
      <c r="B23" s="2">
        <v>62</v>
      </c>
      <c r="C23" s="2">
        <v>168970859.19999999</v>
      </c>
      <c r="D23" s="2">
        <v>1.4800000000000001E-2</v>
      </c>
      <c r="E23" s="2">
        <v>0</v>
      </c>
      <c r="F23" s="2">
        <v>0</v>
      </c>
    </row>
    <row r="24" spans="1:6" x14ac:dyDescent="0.2">
      <c r="A24" s="1" t="s">
        <v>37</v>
      </c>
      <c r="B24" s="2">
        <v>14</v>
      </c>
      <c r="C24" s="2">
        <v>168847046.80000001</v>
      </c>
      <c r="D24" s="2">
        <v>1.4800000000000001E-2</v>
      </c>
      <c r="E24" s="2">
        <v>0</v>
      </c>
      <c r="F24" s="2">
        <v>0</v>
      </c>
    </row>
    <row r="25" spans="1:6" x14ac:dyDescent="0.2">
      <c r="A25" s="1" t="s">
        <v>38</v>
      </c>
      <c r="B25" s="2">
        <v>22</v>
      </c>
      <c r="C25" s="2">
        <v>168763551.5</v>
      </c>
      <c r="D25" s="2">
        <v>1.47E-2</v>
      </c>
      <c r="E25" s="2">
        <v>0</v>
      </c>
      <c r="F25" s="2">
        <v>0</v>
      </c>
    </row>
    <row r="26" spans="1:6" x14ac:dyDescent="0.2">
      <c r="A26" s="1" t="s">
        <v>39</v>
      </c>
      <c r="B26" s="2">
        <v>19</v>
      </c>
      <c r="C26" s="2">
        <v>168761106.59999999</v>
      </c>
      <c r="D26" s="2">
        <v>1.47E-2</v>
      </c>
      <c r="E26" s="2">
        <v>0</v>
      </c>
      <c r="F26" s="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1AFC-16BB-FA4C-B44A-BFC0DE11F042}">
  <dimension ref="A1:D3"/>
  <sheetViews>
    <sheetView workbookViewId="0">
      <selection activeCell="D1" sqref="D1"/>
    </sheetView>
  </sheetViews>
  <sheetFormatPr baseColWidth="10" defaultRowHeight="16" x14ac:dyDescent="0.2"/>
  <cols>
    <col min="1" max="1" width="19.1640625" bestFit="1" customWidth="1"/>
    <col min="4" max="4" width="13" bestFit="1" customWidth="1"/>
  </cols>
  <sheetData>
    <row r="1" spans="1:4" x14ac:dyDescent="0.2">
      <c r="A1" s="1" t="s">
        <v>40</v>
      </c>
      <c r="B1" s="1" t="s">
        <v>41</v>
      </c>
      <c r="C1" s="1" t="s">
        <v>42</v>
      </c>
      <c r="D1" s="1" t="s">
        <v>14</v>
      </c>
    </row>
    <row r="2" spans="1:4" x14ac:dyDescent="0.2">
      <c r="A2" s="2" t="s">
        <v>43</v>
      </c>
      <c r="B2" s="2">
        <v>5914203</v>
      </c>
      <c r="C2" s="2">
        <v>5543</v>
      </c>
      <c r="D2" s="2">
        <v>9.3700000000000006E-2</v>
      </c>
    </row>
    <row r="3" spans="1:4" x14ac:dyDescent="0.2">
      <c r="A3" s="2" t="s">
        <v>44</v>
      </c>
      <c r="B3" s="2">
        <v>448417</v>
      </c>
      <c r="C3" s="2">
        <v>2670</v>
      </c>
      <c r="D3" s="2">
        <v>0.59540000000000004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C606-A316-504C-B3D4-6D9EB8798DED}">
  <dimension ref="A1"/>
  <sheetViews>
    <sheetView workbookViewId="0">
      <selection activeCell="B7" sqref="B7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Memo</vt:lpstr>
      <vt:lpstr>Baseline</vt:lpstr>
      <vt:lpstr>Large_Transactions</vt:lpstr>
      <vt:lpstr>Payee_Concentration</vt:lpstr>
      <vt:lpstr>Timing Analysis</vt:lpstr>
      <vt:lpstr>Near_Duplicates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Anand</dc:creator>
  <cp:lastModifiedBy>Simran Anand</cp:lastModifiedBy>
  <dcterms:created xsi:type="dcterms:W3CDTF">2026-04-12T12:07:54Z</dcterms:created>
  <dcterms:modified xsi:type="dcterms:W3CDTF">2026-04-12T20:39:06Z</dcterms:modified>
</cp:coreProperties>
</file>